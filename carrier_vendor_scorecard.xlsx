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hipping Mode" sheetId="2" state="visible" r:id="rId2"/>
    <sheet xmlns:r="http://schemas.openxmlformats.org/officeDocument/2006/relationships" name="Market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Department" sheetId="5" state="visible" r:id="rId5"/>
    <sheet xmlns:r="http://schemas.openxmlformats.org/officeDocument/2006/relationships" name="Customer Seg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On-time target (%)</t>
        </is>
      </c>
      <c r="B1" t="n">
        <v>90</v>
      </c>
    </row>
    <row r="2">
      <c r="A2" s="1" t="inlineStr">
        <is>
          <t>Amber band (points below target)</t>
        </is>
      </c>
      <c r="B2" t="n">
        <v>10</v>
      </c>
    </row>
    <row r="4">
      <c r="A4" t="inlineStr">
        <is>
          <t>Change B1 or B2 and the Status column on every sheet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1" customWidth="1" min="4" max="4"/>
    <col width="13" customWidth="1" min="5" max="5"/>
    <col width="17" customWidth="1" min="6" max="6"/>
    <col width="20" customWidth="1" min="7" max="7"/>
    <col width="14" customWidth="1" min="8" max="8"/>
    <col width="14" customWidth="1" min="9" max="9"/>
    <col width="10" customWidth="1" min="10" max="10"/>
  </cols>
  <sheetData>
    <row r="1">
      <c r="A1" s="2" t="inlineStr">
        <is>
          <t>Shipping Mode</t>
        </is>
      </c>
      <c r="B1" s="2" t="inlineStr">
        <is>
          <t>Orders</t>
        </is>
      </c>
      <c r="C1" s="2" t="inlineStr">
        <is>
          <t>Late orders</t>
        </is>
      </c>
      <c r="D1" s="2" t="inlineStr">
        <is>
          <t>On-time %</t>
        </is>
      </c>
      <c r="E1" s="2" t="inlineStr">
        <is>
          <t>Avg ship days</t>
        </is>
      </c>
      <c r="F1" s="2" t="inlineStr">
        <is>
          <t>Avg scheduled days</t>
        </is>
      </c>
      <c r="G1" s="2" t="inlineStr">
        <is>
          <t>Avg delay when late (days)</t>
        </is>
      </c>
      <c r="H1" s="2" t="inlineStr">
        <is>
          <t>Sales</t>
        </is>
      </c>
      <c r="I1" s="2" t="inlineStr">
        <is>
          <t>Profit</t>
        </is>
      </c>
      <c r="J1" s="2" t="inlineStr">
        <is>
          <t>Status</t>
        </is>
      </c>
    </row>
    <row r="2">
      <c r="A2" t="inlineStr">
        <is>
          <t>First Class</t>
        </is>
      </c>
      <c r="B2" t="n">
        <v>9602</v>
      </c>
      <c r="C2" t="n">
        <v>9602</v>
      </c>
      <c r="D2">
        <f>ROUND(100*(1-C2/B2),1)</f>
        <v/>
      </c>
      <c r="E2" t="n">
        <v>2</v>
      </c>
      <c r="F2" t="n">
        <v>1</v>
      </c>
      <c r="G2" t="n">
        <v>1</v>
      </c>
      <c r="H2" s="3" t="n">
        <v>5408068.56</v>
      </c>
      <c r="I2" s="3" t="n">
        <v>616596.73</v>
      </c>
      <c r="J2">
        <f>IF(D2&gt;=Settings!$B$1,"GREEN",IF(D2&gt;=Settings!$B$1-Settings!$B$2,"AMBER","RED"))</f>
        <v/>
      </c>
    </row>
    <row r="3">
      <c r="A3" t="inlineStr">
        <is>
          <t>Second Class</t>
        </is>
      </c>
      <c r="B3" t="n">
        <v>12256</v>
      </c>
      <c r="C3" t="n">
        <v>9803</v>
      </c>
      <c r="D3">
        <f>ROUND(100*(1-C3/B3),1)</f>
        <v/>
      </c>
      <c r="E3" t="n">
        <v>4</v>
      </c>
      <c r="F3" t="n">
        <v>2</v>
      </c>
      <c r="G3" t="n">
        <v>2.5</v>
      </c>
      <c r="H3" s="3" t="n">
        <v>6860661.56</v>
      </c>
      <c r="I3" s="3" t="n">
        <v>722861.47</v>
      </c>
      <c r="J3">
        <f>IF(D3&gt;=Settings!$B$1,"GREEN",IF(D3&gt;=Settings!$B$1-Settings!$B$2,"AMBER","RED"))</f>
        <v/>
      </c>
    </row>
    <row r="4">
      <c r="A4" t="inlineStr">
        <is>
          <t>Same Day</t>
        </is>
      </c>
      <c r="B4" t="n">
        <v>3407</v>
      </c>
      <c r="C4" t="n">
        <v>1648</v>
      </c>
      <c r="D4">
        <f>ROUND(100*(1-C4/B4),1)</f>
        <v/>
      </c>
      <c r="E4" t="n">
        <v>0.48</v>
      </c>
      <c r="F4" t="n">
        <v>0</v>
      </c>
      <c r="G4" t="n">
        <v>1</v>
      </c>
      <c r="H4" s="3" t="n">
        <v>1854872.21</v>
      </c>
      <c r="I4" s="3" t="n">
        <v>194182.13</v>
      </c>
      <c r="J4">
        <f>IF(D4&gt;=Settings!$B$1,"GREEN",IF(D4&gt;=Settings!$B$1-Settings!$B$2,"AMBER","RED"))</f>
        <v/>
      </c>
    </row>
    <row r="5">
      <c r="A5" t="inlineStr">
        <is>
          <t>Standard Class</t>
        </is>
      </c>
      <c r="B5" t="n">
        <v>37632</v>
      </c>
      <c r="C5" t="n">
        <v>14995</v>
      </c>
      <c r="D5">
        <f>ROUND(100*(1-C5/B5),1)</f>
        <v/>
      </c>
      <c r="E5" t="n">
        <v>3.99</v>
      </c>
      <c r="F5" t="n">
        <v>4</v>
      </c>
      <c r="G5" t="n">
        <v>1.5</v>
      </c>
      <c r="H5" s="3" t="n">
        <v>21090827.32</v>
      </c>
      <c r="I5" s="3" t="n">
        <v>2272780.3</v>
      </c>
      <c r="J5">
        <f>IF(D5&gt;=Settings!$B$1,"GREEN",IF(D5&gt;=Settings!$B$1-Settings!$B$2,"AMBER","RED"))</f>
        <v/>
      </c>
    </row>
  </sheetData>
  <conditionalFormatting sqref="J2:J5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1" customWidth="1" min="4" max="4"/>
    <col width="13" customWidth="1" min="5" max="5"/>
    <col width="17" customWidth="1" min="6" max="6"/>
    <col width="20" customWidth="1" min="7" max="7"/>
    <col width="14" customWidth="1" min="8" max="8"/>
    <col width="14" customWidth="1" min="9" max="9"/>
    <col width="10" customWidth="1" min="10" max="10"/>
  </cols>
  <sheetData>
    <row r="1">
      <c r="A1" s="2" t="inlineStr">
        <is>
          <t>Market</t>
        </is>
      </c>
      <c r="B1" s="2" t="inlineStr">
        <is>
          <t>Orders</t>
        </is>
      </c>
      <c r="C1" s="2" t="inlineStr">
        <is>
          <t>Late orders</t>
        </is>
      </c>
      <c r="D1" s="2" t="inlineStr">
        <is>
          <t>On-time %</t>
        </is>
      </c>
      <c r="E1" s="2" t="inlineStr">
        <is>
          <t>Avg ship days</t>
        </is>
      </c>
      <c r="F1" s="2" t="inlineStr">
        <is>
          <t>Avg scheduled days</t>
        </is>
      </c>
      <c r="G1" s="2" t="inlineStr">
        <is>
          <t>Avg delay when late (days)</t>
        </is>
      </c>
      <c r="H1" s="2" t="inlineStr">
        <is>
          <t>Sales</t>
        </is>
      </c>
      <c r="I1" s="2" t="inlineStr">
        <is>
          <t>Profit</t>
        </is>
      </c>
      <c r="J1" s="2" t="inlineStr">
        <is>
          <t>Status</t>
        </is>
      </c>
    </row>
    <row r="2">
      <c r="A2" t="inlineStr">
        <is>
          <t>Pacific Asia</t>
        </is>
      </c>
      <c r="B2" t="n">
        <v>16853</v>
      </c>
      <c r="C2" t="n">
        <v>9720</v>
      </c>
      <c r="D2">
        <f>ROUND(100*(1-C2/B2),1)</f>
        <v/>
      </c>
      <c r="E2" t="n">
        <v>3.51</v>
      </c>
      <c r="F2" t="n">
        <v>2.93</v>
      </c>
      <c r="G2" t="n">
        <v>1.62</v>
      </c>
      <c r="H2" s="3" t="n">
        <v>7942351.82</v>
      </c>
      <c r="I2" s="3" t="n">
        <v>826167.16</v>
      </c>
      <c r="J2">
        <f>IF(D2&gt;=Settings!$B$1,"GREEN",IF(D2&gt;=Settings!$B$1-Settings!$B$2,"AMBER","RED"))</f>
        <v/>
      </c>
    </row>
    <row r="3">
      <c r="A3" t="inlineStr">
        <is>
          <t>USCA</t>
        </is>
      </c>
      <c r="B3" t="n">
        <v>8178</v>
      </c>
      <c r="C3" t="n">
        <v>4704</v>
      </c>
      <c r="D3">
        <f>ROUND(100*(1-C3/B3),1)</f>
        <v/>
      </c>
      <c r="E3" t="n">
        <v>3.5</v>
      </c>
      <c r="F3" t="n">
        <v>2.92</v>
      </c>
      <c r="G3" t="n">
        <v>1.62</v>
      </c>
      <c r="H3" s="3" t="n">
        <v>4836413.58</v>
      </c>
      <c r="I3" s="3" t="n">
        <v>539223.29</v>
      </c>
      <c r="J3">
        <f>IF(D3&gt;=Settings!$B$1,"GREEN",IF(D3&gt;=Settings!$B$1-Settings!$B$2,"AMBER","RED"))</f>
        <v/>
      </c>
    </row>
    <row r="4">
      <c r="A4" t="inlineStr">
        <is>
          <t>Europe</t>
        </is>
      </c>
      <c r="B4" t="n">
        <v>17763</v>
      </c>
      <c r="C4" t="n">
        <v>10199</v>
      </c>
      <c r="D4">
        <f>ROUND(100*(1-C4/B4),1)</f>
        <v/>
      </c>
      <c r="E4" t="n">
        <v>3.5</v>
      </c>
      <c r="F4" t="n">
        <v>2.93</v>
      </c>
      <c r="G4" t="n">
        <v>1.62</v>
      </c>
      <c r="H4" s="3" t="n">
        <v>10405371.44</v>
      </c>
      <c r="I4" s="3" t="n">
        <v>1131937.91</v>
      </c>
      <c r="J4">
        <f>IF(D4&gt;=Settings!$B$1,"GREEN",IF(D4&gt;=Settings!$B$1-Settings!$B$2,"AMBER","RED"))</f>
        <v/>
      </c>
    </row>
    <row r="5">
      <c r="A5" t="inlineStr">
        <is>
          <t>LATAM</t>
        </is>
      </c>
      <c r="B5" t="n">
        <v>16414</v>
      </c>
      <c r="C5" t="n">
        <v>9339</v>
      </c>
      <c r="D5">
        <f>ROUND(100*(1-C5/B5),1)</f>
        <v/>
      </c>
      <c r="E5" t="n">
        <v>3.5</v>
      </c>
      <c r="F5" t="n">
        <v>2.95</v>
      </c>
      <c r="G5" t="n">
        <v>1.62</v>
      </c>
      <c r="H5" s="3" t="n">
        <v>9824329.76</v>
      </c>
      <c r="I5" s="3" t="n">
        <v>1069050.79</v>
      </c>
      <c r="J5">
        <f>IF(D5&gt;=Settings!$B$1,"GREEN",IF(D5&gt;=Settings!$B$1-Settings!$B$2,"AMBER","RED"))</f>
        <v/>
      </c>
    </row>
    <row r="6">
      <c r="A6" t="inlineStr">
        <is>
          <t>Africa</t>
        </is>
      </c>
      <c r="B6" t="n">
        <v>3689</v>
      </c>
      <c r="C6" t="n">
        <v>2086</v>
      </c>
      <c r="D6">
        <f>ROUND(100*(1-C6/B6),1)</f>
        <v/>
      </c>
      <c r="E6" t="n">
        <v>3.5</v>
      </c>
      <c r="F6" t="n">
        <v>2.95</v>
      </c>
      <c r="G6" t="n">
        <v>1.6</v>
      </c>
      <c r="H6" s="3" t="n">
        <v>2205963.05</v>
      </c>
      <c r="I6" s="3" t="n">
        <v>240041.48</v>
      </c>
      <c r="J6">
        <f>IF(D6&gt;=Settings!$B$1,"GREEN",IF(D6&gt;=Settings!$B$1-Settings!$B$2,"AMBER","RED"))</f>
        <v/>
      </c>
    </row>
  </sheetData>
  <conditionalFormatting sqref="J2:J6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1" customWidth="1" min="4" max="4"/>
    <col width="13" customWidth="1" min="5" max="5"/>
    <col width="17" customWidth="1" min="6" max="6"/>
    <col width="20" customWidth="1" min="7" max="7"/>
    <col width="14" customWidth="1" min="8" max="8"/>
    <col width="14" customWidth="1" min="9" max="9"/>
    <col width="10" customWidth="1" min="10" max="10"/>
  </cols>
  <sheetData>
    <row r="1">
      <c r="A1" s="2" t="inlineStr">
        <is>
          <t>Region</t>
        </is>
      </c>
      <c r="B1" s="2" t="inlineStr">
        <is>
          <t>Orders</t>
        </is>
      </c>
      <c r="C1" s="2" t="inlineStr">
        <is>
          <t>Late orders</t>
        </is>
      </c>
      <c r="D1" s="2" t="inlineStr">
        <is>
          <t>On-time %</t>
        </is>
      </c>
      <c r="E1" s="2" t="inlineStr">
        <is>
          <t>Avg ship days</t>
        </is>
      </c>
      <c r="F1" s="2" t="inlineStr">
        <is>
          <t>Avg scheduled days</t>
        </is>
      </c>
      <c r="G1" s="2" t="inlineStr">
        <is>
          <t>Avg delay when late (days)</t>
        </is>
      </c>
      <c r="H1" s="2" t="inlineStr">
        <is>
          <t>Sales</t>
        </is>
      </c>
      <c r="I1" s="2" t="inlineStr">
        <is>
          <t>Profit</t>
        </is>
      </c>
      <c r="J1" s="2" t="inlineStr">
        <is>
          <t>Status</t>
        </is>
      </c>
    </row>
    <row r="2">
      <c r="A2" t="inlineStr">
        <is>
          <t>Central Africa</t>
        </is>
      </c>
      <c r="B2" t="n">
        <v>533</v>
      </c>
      <c r="C2" t="n">
        <v>320</v>
      </c>
      <c r="D2">
        <f>ROUND(100*(1-C2/B2),1)</f>
        <v/>
      </c>
      <c r="E2" t="n">
        <v>3.54</v>
      </c>
      <c r="F2" t="n">
        <v>2.92</v>
      </c>
      <c r="G2" t="n">
        <v>1.61</v>
      </c>
      <c r="H2" s="3" t="n">
        <v>315769.36</v>
      </c>
      <c r="I2" s="3" t="n">
        <v>32429.41</v>
      </c>
      <c r="J2">
        <f>IF(D2&gt;=Settings!$B$1,"GREEN",IF(D2&gt;=Settings!$B$1-Settings!$B$2,"AMBER","RED"))</f>
        <v/>
      </c>
    </row>
    <row r="3">
      <c r="A3" t="inlineStr">
        <is>
          <t>East Africa</t>
        </is>
      </c>
      <c r="B3" t="n">
        <v>589</v>
      </c>
      <c r="C3" t="n">
        <v>348</v>
      </c>
      <c r="D3">
        <f>ROUND(100*(1-C3/B3),1)</f>
        <v/>
      </c>
      <c r="E3" t="n">
        <v>3.49</v>
      </c>
      <c r="F3" t="n">
        <v>2.9</v>
      </c>
      <c r="G3" t="n">
        <v>1.59</v>
      </c>
      <c r="H3" s="3" t="n">
        <v>363376.45</v>
      </c>
      <c r="I3" s="3" t="n">
        <v>41892.29</v>
      </c>
      <c r="J3">
        <f>IF(D3&gt;=Settings!$B$1,"GREEN",IF(D3&gt;=Settings!$B$1-Settings!$B$2,"AMBER","RED"))</f>
        <v/>
      </c>
    </row>
    <row r="4">
      <c r="A4" t="inlineStr">
        <is>
          <t xml:space="preserve">South of  USA </t>
        </is>
      </c>
      <c r="B4" t="n">
        <v>1280</v>
      </c>
      <c r="C4" t="n">
        <v>753</v>
      </c>
      <c r="D4">
        <f>ROUND(100*(1-C4/B4),1)</f>
        <v/>
      </c>
      <c r="E4" t="n">
        <v>3.51</v>
      </c>
      <c r="F4" t="n">
        <v>2.89</v>
      </c>
      <c r="G4" t="n">
        <v>1.65</v>
      </c>
      <c r="H4" s="3" t="n">
        <v>748217.15</v>
      </c>
      <c r="I4" s="3" t="n">
        <v>82371</v>
      </c>
      <c r="J4">
        <f>IF(D4&gt;=Settings!$B$1,"GREEN",IF(D4&gt;=Settings!$B$1-Settings!$B$2,"AMBER","RED"))</f>
        <v/>
      </c>
    </row>
    <row r="5">
      <c r="A5" t="inlineStr">
        <is>
          <t>West Asia</t>
        </is>
      </c>
      <c r="B5" t="n">
        <v>1935</v>
      </c>
      <c r="C5" t="n">
        <v>1132</v>
      </c>
      <c r="D5">
        <f>ROUND(100*(1-C5/B5),1)</f>
        <v/>
      </c>
      <c r="E5" t="n">
        <v>3.49</v>
      </c>
      <c r="F5" t="n">
        <v>2.91</v>
      </c>
      <c r="G5" t="n">
        <v>1.6</v>
      </c>
      <c r="H5" s="3" t="n">
        <v>1122755.8</v>
      </c>
      <c r="I5" s="3" t="n">
        <v>115462.14</v>
      </c>
      <c r="J5">
        <f>IF(D5&gt;=Settings!$B$1,"GREEN",IF(D5&gt;=Settings!$B$1-Settings!$B$2,"AMBER","RED"))</f>
        <v/>
      </c>
    </row>
    <row r="6">
      <c r="A6" t="inlineStr">
        <is>
          <t>Western Europe</t>
        </is>
      </c>
      <c r="B6" t="n">
        <v>9563</v>
      </c>
      <c r="C6" t="n">
        <v>5585</v>
      </c>
      <c r="D6">
        <f>ROUND(100*(1-C6/B6),1)</f>
        <v/>
      </c>
      <c r="E6" t="n">
        <v>3.52</v>
      </c>
      <c r="F6" t="n">
        <v>2.92</v>
      </c>
      <c r="G6" t="n">
        <v>1.63</v>
      </c>
      <c r="H6" s="3" t="n">
        <v>5628938.55</v>
      </c>
      <c r="I6" s="3" t="n">
        <v>607319.63</v>
      </c>
      <c r="J6">
        <f>IF(D6&gt;=Settings!$B$1,"GREEN",IF(D6&gt;=Settings!$B$1-Settings!$B$2,"AMBER","RED"))</f>
        <v/>
      </c>
    </row>
    <row r="7">
      <c r="A7" t="inlineStr">
        <is>
          <t>Eastern Europe</t>
        </is>
      </c>
      <c r="B7" t="n">
        <v>1246</v>
      </c>
      <c r="C7" t="n">
        <v>723</v>
      </c>
      <c r="D7">
        <f>ROUND(100*(1-C7/B7),1)</f>
        <v/>
      </c>
      <c r="E7" t="n">
        <v>3.52</v>
      </c>
      <c r="F7" t="n">
        <v>2.93</v>
      </c>
      <c r="G7" t="n">
        <v>1.63</v>
      </c>
      <c r="H7" s="3" t="n">
        <v>747370.89</v>
      </c>
      <c r="I7" s="3" t="n">
        <v>76854.71000000001</v>
      </c>
      <c r="J7">
        <f>IF(D7&gt;=Settings!$B$1,"GREEN",IF(D7&gt;=Settings!$B$1-Settings!$B$2,"AMBER","RED"))</f>
        <v/>
      </c>
    </row>
    <row r="8">
      <c r="A8" t="inlineStr">
        <is>
          <t>Southeast Asia</t>
        </is>
      </c>
      <c r="B8" t="n">
        <v>4173</v>
      </c>
      <c r="C8" t="n">
        <v>2421</v>
      </c>
      <c r="D8">
        <f>ROUND(100*(1-C8/B8),1)</f>
        <v/>
      </c>
      <c r="E8" t="n">
        <v>3.53</v>
      </c>
      <c r="F8" t="n">
        <v>2.95</v>
      </c>
      <c r="G8" t="n">
        <v>1.62</v>
      </c>
      <c r="H8" s="3" t="n">
        <v>1850920.76</v>
      </c>
      <c r="I8" s="3" t="n">
        <v>202242.88</v>
      </c>
      <c r="J8">
        <f>IF(D8&gt;=Settings!$B$1,"GREEN",IF(D8&gt;=Settings!$B$1-Settings!$B$2,"AMBER","RED"))</f>
        <v/>
      </c>
    </row>
    <row r="9">
      <c r="A9" t="inlineStr">
        <is>
          <t>South Asia</t>
        </is>
      </c>
      <c r="B9" t="n">
        <v>3219</v>
      </c>
      <c r="C9" t="n">
        <v>1865</v>
      </c>
      <c r="D9">
        <f>ROUND(100*(1-C9/B9),1)</f>
        <v/>
      </c>
      <c r="E9" t="n">
        <v>3.49</v>
      </c>
      <c r="F9" t="n">
        <v>2.9</v>
      </c>
      <c r="G9" t="n">
        <v>1.64</v>
      </c>
      <c r="H9" s="3" t="n">
        <v>1498811.04</v>
      </c>
      <c r="I9" s="3" t="n">
        <v>158754.74</v>
      </c>
      <c r="J9">
        <f>IF(D9&gt;=Settings!$B$1,"GREEN",IF(D9&gt;=Settings!$B$1-Settings!$B$2,"AMBER","RED"))</f>
        <v/>
      </c>
    </row>
    <row r="10">
      <c r="A10" t="inlineStr">
        <is>
          <t xml:space="preserve">US Center </t>
        </is>
      </c>
      <c r="B10" t="n">
        <v>1852</v>
      </c>
      <c r="C10" t="n">
        <v>1071</v>
      </c>
      <c r="D10">
        <f>ROUND(100*(1-C10/B10),1)</f>
        <v/>
      </c>
      <c r="E10" t="n">
        <v>3.47</v>
      </c>
      <c r="F10" t="n">
        <v>2.89</v>
      </c>
      <c r="G10" t="n">
        <v>1.58</v>
      </c>
      <c r="H10" s="3" t="n">
        <v>1107813.81</v>
      </c>
      <c r="I10" s="3" t="n">
        <v>126356.86</v>
      </c>
      <c r="J10">
        <f>IF(D10&gt;=Settings!$B$1,"GREEN",IF(D10&gt;=Settings!$B$1-Settings!$B$2,"AMBER","RED"))</f>
        <v/>
      </c>
    </row>
    <row r="11">
      <c r="A11" t="inlineStr">
        <is>
          <t>East of USA</t>
        </is>
      </c>
      <c r="B11" t="n">
        <v>2219</v>
      </c>
      <c r="C11" t="n">
        <v>1276</v>
      </c>
      <c r="D11">
        <f>ROUND(100*(1-C11/B11),1)</f>
        <v/>
      </c>
      <c r="E11" t="n">
        <v>3.51</v>
      </c>
      <c r="F11" t="n">
        <v>2.93</v>
      </c>
      <c r="G11" t="n">
        <v>1.61</v>
      </c>
      <c r="H11" s="3" t="n">
        <v>1313179.39</v>
      </c>
      <c r="I11" s="3" t="n">
        <v>148772.65</v>
      </c>
      <c r="J11">
        <f>IF(D11&gt;=Settings!$B$1,"GREEN",IF(D11&gt;=Settings!$B$1-Settings!$B$2,"AMBER","RED"))</f>
        <v/>
      </c>
    </row>
    <row r="12">
      <c r="A12" t="inlineStr">
        <is>
          <t>Eastern Asia</t>
        </is>
      </c>
      <c r="B12" t="n">
        <v>3171</v>
      </c>
      <c r="C12" t="n">
        <v>1818</v>
      </c>
      <c r="D12">
        <f>ROUND(100*(1-C12/B12),1)</f>
        <v/>
      </c>
      <c r="E12" t="n">
        <v>3.53</v>
      </c>
      <c r="F12" t="n">
        <v>2.96</v>
      </c>
      <c r="G12" t="n">
        <v>1.63</v>
      </c>
      <c r="H12" s="3" t="n">
        <v>1428160.35</v>
      </c>
      <c r="I12" s="3" t="n">
        <v>141747.52</v>
      </c>
      <c r="J12">
        <f>IF(D12&gt;=Settings!$B$1,"GREEN",IF(D12&gt;=Settings!$B$1-Settings!$B$2,"AMBER","RED"))</f>
        <v/>
      </c>
    </row>
    <row r="13">
      <c r="A13" t="inlineStr">
        <is>
          <t>Central America</t>
        </is>
      </c>
      <c r="B13" t="n">
        <v>9001</v>
      </c>
      <c r="C13" t="n">
        <v>5156</v>
      </c>
      <c r="D13">
        <f>ROUND(100*(1-C13/B13),1)</f>
        <v/>
      </c>
      <c r="E13" t="n">
        <v>3.51</v>
      </c>
      <c r="F13" t="n">
        <v>2.94</v>
      </c>
      <c r="G13" t="n">
        <v>1.61</v>
      </c>
      <c r="H13" s="3" t="n">
        <v>5432827.4</v>
      </c>
      <c r="I13" s="3" t="n">
        <v>586567.12</v>
      </c>
      <c r="J13">
        <f>IF(D13&gt;=Settings!$B$1,"GREEN",IF(D13&gt;=Settings!$B$1-Settings!$B$2,"AMBER","RED"))</f>
        <v/>
      </c>
    </row>
    <row r="14">
      <c r="A14" t="inlineStr">
        <is>
          <t xml:space="preserve">West of USA </t>
        </is>
      </c>
      <c r="B14" t="n">
        <v>2536</v>
      </c>
      <c r="C14" t="n">
        <v>1451</v>
      </c>
      <c r="D14">
        <f>ROUND(100*(1-C14/B14),1)</f>
        <v/>
      </c>
      <c r="E14" t="n">
        <v>3.51</v>
      </c>
      <c r="F14" t="n">
        <v>2.94</v>
      </c>
      <c r="G14" t="n">
        <v>1.62</v>
      </c>
      <c r="H14" s="3" t="n">
        <v>1490407.86</v>
      </c>
      <c r="I14" s="3" t="n">
        <v>159186.83</v>
      </c>
      <c r="J14">
        <f>IF(D14&gt;=Settings!$B$1,"GREEN",IF(D14&gt;=Settings!$B$1-Settings!$B$2,"AMBER","RED"))</f>
        <v/>
      </c>
    </row>
    <row r="15">
      <c r="A15" t="inlineStr">
        <is>
          <t>North Africa</t>
        </is>
      </c>
      <c r="B15" t="n">
        <v>1013</v>
      </c>
      <c r="C15" t="n">
        <v>578</v>
      </c>
      <c r="D15">
        <f>ROUND(100*(1-C15/B15),1)</f>
        <v/>
      </c>
      <c r="E15" t="n">
        <v>3.46</v>
      </c>
      <c r="F15" t="n">
        <v>2.91</v>
      </c>
      <c r="G15" t="n">
        <v>1.6</v>
      </c>
      <c r="H15" s="3" t="n">
        <v>606910.45</v>
      </c>
      <c r="I15" s="3" t="n">
        <v>59356.76</v>
      </c>
      <c r="J15">
        <f>IF(D15&gt;=Settings!$B$1,"GREEN",IF(D15&gt;=Settings!$B$1-Settings!$B$2,"AMBER","RED"))</f>
        <v/>
      </c>
    </row>
    <row r="16">
      <c r="A16" t="inlineStr">
        <is>
          <t>Oceania</t>
        </is>
      </c>
      <c r="B16" t="n">
        <v>4175</v>
      </c>
      <c r="C16" t="n">
        <v>2382</v>
      </c>
      <c r="D16">
        <f>ROUND(100*(1-C16/B16),1)</f>
        <v/>
      </c>
      <c r="E16" t="n">
        <v>3.5</v>
      </c>
      <c r="F16" t="n">
        <v>2.93</v>
      </c>
      <c r="G16" t="n">
        <v>1.61</v>
      </c>
      <c r="H16" s="3" t="n">
        <v>1934643.61</v>
      </c>
      <c r="I16" s="3" t="n">
        <v>195381.26</v>
      </c>
      <c r="J16">
        <f>IF(D16&gt;=Settings!$B$1,"GREEN",IF(D16&gt;=Settings!$B$1-Settings!$B$2,"AMBER","RED"))</f>
        <v/>
      </c>
    </row>
    <row r="17">
      <c r="A17" t="inlineStr">
        <is>
          <t>South America</t>
        </is>
      </c>
      <c r="B17" t="n">
        <v>4738</v>
      </c>
      <c r="C17" t="n">
        <v>2696</v>
      </c>
      <c r="D17">
        <f>ROUND(100*(1-C17/B17),1)</f>
        <v/>
      </c>
      <c r="E17" t="n">
        <v>3.5</v>
      </c>
      <c r="F17" t="n">
        <v>2.95</v>
      </c>
      <c r="G17" t="n">
        <v>1.62</v>
      </c>
      <c r="H17" s="3" t="n">
        <v>2812832.09</v>
      </c>
      <c r="I17" s="3" t="n">
        <v>315501.98</v>
      </c>
      <c r="J17">
        <f>IF(D17&gt;=Settings!$B$1,"GREEN",IF(D17&gt;=Settings!$B$1-Settings!$B$2,"AMBER","RED"))</f>
        <v/>
      </c>
    </row>
    <row r="18">
      <c r="A18" t="inlineStr">
        <is>
          <t>Central Asia</t>
        </is>
      </c>
      <c r="B18" t="n">
        <v>180</v>
      </c>
      <c r="C18" t="n">
        <v>102</v>
      </c>
      <c r="D18">
        <f>ROUND(100*(1-C18/B18),1)</f>
        <v/>
      </c>
      <c r="E18" t="n">
        <v>3.5</v>
      </c>
      <c r="F18" t="n">
        <v>2.86</v>
      </c>
      <c r="G18" t="n">
        <v>1.74</v>
      </c>
      <c r="H18" s="3" t="n">
        <v>107060.27</v>
      </c>
      <c r="I18" s="3" t="n">
        <v>12578.62</v>
      </c>
      <c r="J18">
        <f>IF(D18&gt;=Settings!$B$1,"GREEN",IF(D18&gt;=Settings!$B$1-Settings!$B$2,"AMBER","RED"))</f>
        <v/>
      </c>
    </row>
    <row r="19">
      <c r="A19" t="inlineStr">
        <is>
          <t>Southern Africa</t>
        </is>
      </c>
      <c r="B19" t="n">
        <v>380</v>
      </c>
      <c r="C19" t="n">
        <v>214</v>
      </c>
      <c r="D19">
        <f>ROUND(100*(1-C19/B19),1)</f>
        <v/>
      </c>
      <c r="E19" t="n">
        <v>3.49</v>
      </c>
      <c r="F19" t="n">
        <v>3.02</v>
      </c>
      <c r="G19" t="n">
        <v>1.53</v>
      </c>
      <c r="H19" s="3" t="n">
        <v>217528.71</v>
      </c>
      <c r="I19" s="3" t="n">
        <v>29238.34</v>
      </c>
      <c r="J19">
        <f>IF(D19&gt;=Settings!$B$1,"GREEN",IF(D19&gt;=Settings!$B$1-Settings!$B$2,"AMBER","RED"))</f>
        <v/>
      </c>
    </row>
    <row r="20">
      <c r="A20" t="inlineStr">
        <is>
          <t>Northern Europe</t>
        </is>
      </c>
      <c r="B20" t="n">
        <v>3564</v>
      </c>
      <c r="C20" t="n">
        <v>1996</v>
      </c>
      <c r="D20">
        <f>ROUND(100*(1-C20/B20),1)</f>
        <v/>
      </c>
      <c r="E20" t="n">
        <v>3.48</v>
      </c>
      <c r="F20" t="n">
        <v>2.95</v>
      </c>
      <c r="G20" t="n">
        <v>1.63</v>
      </c>
      <c r="H20" s="3" t="n">
        <v>2072365.35</v>
      </c>
      <c r="I20" s="3" t="n">
        <v>226419.4</v>
      </c>
      <c r="J20">
        <f>IF(D20&gt;=Settings!$B$1,"GREEN",IF(D20&gt;=Settings!$B$1-Settings!$B$2,"AMBER","RED"))</f>
        <v/>
      </c>
    </row>
    <row r="21">
      <c r="A21" t="inlineStr">
        <is>
          <t>Southern Europe</t>
        </is>
      </c>
      <c r="B21" t="n">
        <v>3390</v>
      </c>
      <c r="C21" t="n">
        <v>1895</v>
      </c>
      <c r="D21">
        <f>ROUND(100*(1-C21/B21),1)</f>
        <v/>
      </c>
      <c r="E21" t="n">
        <v>3.45</v>
      </c>
      <c r="F21" t="n">
        <v>2.94</v>
      </c>
      <c r="G21" t="n">
        <v>1.59</v>
      </c>
      <c r="H21" s="3" t="n">
        <v>1956696.65</v>
      </c>
      <c r="I21" s="3" t="n">
        <v>221344.17</v>
      </c>
      <c r="J21">
        <f>IF(D21&gt;=Settings!$B$1,"GREEN",IF(D21&gt;=Settings!$B$1-Settings!$B$2,"AMBER","RED"))</f>
        <v/>
      </c>
    </row>
    <row r="22">
      <c r="A22" t="inlineStr">
        <is>
          <t>Caribbean</t>
        </is>
      </c>
      <c r="B22" t="n">
        <v>2675</v>
      </c>
      <c r="C22" t="n">
        <v>1487</v>
      </c>
      <c r="D22">
        <f>ROUND(100*(1-C22/B22),1)</f>
        <v/>
      </c>
      <c r="E22" t="n">
        <v>3.49</v>
      </c>
      <c r="F22" t="n">
        <v>2.96</v>
      </c>
      <c r="G22" t="n">
        <v>1.62</v>
      </c>
      <c r="H22" s="3" t="n">
        <v>1578670.27</v>
      </c>
      <c r="I22" s="3" t="n">
        <v>166981.69</v>
      </c>
      <c r="J22">
        <f>IF(D22&gt;=Settings!$B$1,"GREEN",IF(D22&gt;=Settings!$B$1-Settings!$B$2,"AMBER","RED"))</f>
        <v/>
      </c>
    </row>
    <row r="23">
      <c r="A23" t="inlineStr">
        <is>
          <t>West Africa</t>
        </is>
      </c>
      <c r="B23" t="n">
        <v>1174</v>
      </c>
      <c r="C23" t="n">
        <v>626</v>
      </c>
      <c r="D23">
        <f>ROUND(100*(1-C23/B23),1)</f>
        <v/>
      </c>
      <c r="E23" t="n">
        <v>3.51</v>
      </c>
      <c r="F23" t="n">
        <v>3</v>
      </c>
      <c r="G23" t="n">
        <v>1.63</v>
      </c>
      <c r="H23" s="3" t="n">
        <v>702378.08</v>
      </c>
      <c r="I23" s="3" t="n">
        <v>77124.67999999999</v>
      </c>
      <c r="J23">
        <f>IF(D23&gt;=Settings!$B$1,"GREEN",IF(D23&gt;=Settings!$B$1-Settings!$B$2,"AMBER","RED"))</f>
        <v/>
      </c>
    </row>
    <row r="24">
      <c r="A24" t="inlineStr">
        <is>
          <t>Canada</t>
        </is>
      </c>
      <c r="B24" t="n">
        <v>291</v>
      </c>
      <c r="C24" t="n">
        <v>153</v>
      </c>
      <c r="D24">
        <f>ROUND(100*(1-C24/B24),1)</f>
        <v/>
      </c>
      <c r="E24" t="n">
        <v>3.38</v>
      </c>
      <c r="F24" t="n">
        <v>2.95</v>
      </c>
      <c r="G24" t="n">
        <v>1.64</v>
      </c>
      <c r="H24" s="3" t="n">
        <v>176795.36</v>
      </c>
      <c r="I24" s="3" t="n">
        <v>22535.95</v>
      </c>
      <c r="J24">
        <f>IF(D24&gt;=Settings!$B$1,"GREEN",IF(D24&gt;=Settings!$B$1-Settings!$B$2,"AMBER","RED"))</f>
        <v/>
      </c>
    </row>
  </sheetData>
  <conditionalFormatting sqref="J2:J24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1" customWidth="1" min="4" max="4"/>
    <col width="13" customWidth="1" min="5" max="5"/>
    <col width="17" customWidth="1" min="6" max="6"/>
    <col width="20" customWidth="1" min="7" max="7"/>
    <col width="14" customWidth="1" min="8" max="8"/>
    <col width="14" customWidth="1" min="9" max="9"/>
    <col width="10" customWidth="1" min="10" max="10"/>
  </cols>
  <sheetData>
    <row r="1">
      <c r="A1" s="2" t="inlineStr">
        <is>
          <t>Department</t>
        </is>
      </c>
      <c r="B1" s="2" t="inlineStr">
        <is>
          <t>Orders</t>
        </is>
      </c>
      <c r="C1" s="2" t="inlineStr">
        <is>
          <t>Late orders</t>
        </is>
      </c>
      <c r="D1" s="2" t="inlineStr">
        <is>
          <t>On-time %</t>
        </is>
      </c>
      <c r="E1" s="2" t="inlineStr">
        <is>
          <t>Avg ship days</t>
        </is>
      </c>
      <c r="F1" s="2" t="inlineStr">
        <is>
          <t>Avg scheduled days</t>
        </is>
      </c>
      <c r="G1" s="2" t="inlineStr">
        <is>
          <t>Avg delay when late (days)</t>
        </is>
      </c>
      <c r="H1" s="2" t="inlineStr">
        <is>
          <t>Sales</t>
        </is>
      </c>
      <c r="I1" s="2" t="inlineStr">
        <is>
          <t>Profit</t>
        </is>
      </c>
      <c r="J1" s="2" t="inlineStr">
        <is>
          <t>Status</t>
        </is>
      </c>
    </row>
    <row r="2">
      <c r="A2" t="inlineStr">
        <is>
          <t>Pet Shop</t>
        </is>
      </c>
      <c r="B2" t="n">
        <v>472</v>
      </c>
      <c r="C2" t="n">
        <v>290</v>
      </c>
      <c r="D2">
        <f>ROUND(100*(1-C2/B2),1)</f>
        <v/>
      </c>
      <c r="E2" t="n">
        <v>3.38</v>
      </c>
      <c r="F2" t="n">
        <v>2.68</v>
      </c>
      <c r="G2" t="n">
        <v>1.6</v>
      </c>
      <c r="H2" s="3" t="n">
        <v>39836.8</v>
      </c>
      <c r="I2" s="3" t="n">
        <v>3505.18</v>
      </c>
      <c r="J2">
        <f>IF(D2&gt;=Settings!$B$1,"GREEN",IF(D2&gt;=Settings!$B$1-Settings!$B$2,"AMBER","RED"))</f>
        <v/>
      </c>
    </row>
    <row r="3">
      <c r="A3" t="inlineStr">
        <is>
          <t>Fitness</t>
        </is>
      </c>
      <c r="B3" t="n">
        <v>1464</v>
      </c>
      <c r="C3" t="n">
        <v>868</v>
      </c>
      <c r="D3">
        <f>ROUND(100*(1-C3/B3),1)</f>
        <v/>
      </c>
      <c r="E3" t="n">
        <v>3.54</v>
      </c>
      <c r="F3" t="n">
        <v>2.92</v>
      </c>
      <c r="G3" t="n">
        <v>1.64</v>
      </c>
      <c r="H3" s="3" t="n">
        <v>779236.97</v>
      </c>
      <c r="I3" s="3" t="n">
        <v>82508.84</v>
      </c>
      <c r="J3">
        <f>IF(D3&gt;=Settings!$B$1,"GREEN",IF(D3&gt;=Settings!$B$1-Settings!$B$2,"AMBER","RED"))</f>
        <v/>
      </c>
    </row>
    <row r="4">
      <c r="A4" t="inlineStr">
        <is>
          <t>Book Shop</t>
        </is>
      </c>
      <c r="B4" t="n">
        <v>391</v>
      </c>
      <c r="C4" t="n">
        <v>229</v>
      </c>
      <c r="D4">
        <f>ROUND(100*(1-C4/B4),1)</f>
        <v/>
      </c>
      <c r="E4" t="n">
        <v>3.4</v>
      </c>
      <c r="F4" t="n">
        <v>2.84</v>
      </c>
      <c r="G4" t="n">
        <v>1.53</v>
      </c>
      <c r="H4" s="3" t="n">
        <v>12152.28</v>
      </c>
      <c r="I4" s="3" t="n">
        <v>854.4400000000001</v>
      </c>
      <c r="J4">
        <f>IF(D4&gt;=Settings!$B$1,"GREEN",IF(D4&gt;=Settings!$B$1-Settings!$B$2,"AMBER","RED"))</f>
        <v/>
      </c>
    </row>
    <row r="5">
      <c r="A5" t="inlineStr">
        <is>
          <t xml:space="preserve">Health and Beauty </t>
        </is>
      </c>
      <c r="B5" t="n">
        <v>346</v>
      </c>
      <c r="C5" t="n">
        <v>202</v>
      </c>
      <c r="D5">
        <f>ROUND(100*(1-C5/B5),1)</f>
        <v/>
      </c>
      <c r="E5" t="n">
        <v>3.47</v>
      </c>
      <c r="F5" t="n">
        <v>2.95</v>
      </c>
      <c r="G5" t="n">
        <v>1.51</v>
      </c>
      <c r="H5" s="3" t="n">
        <v>101391.84</v>
      </c>
      <c r="I5" s="3" t="n">
        <v>9281.120000000001</v>
      </c>
      <c r="J5">
        <f>IF(D5&gt;=Settings!$B$1,"GREEN",IF(D5&gt;=Settings!$B$1-Settings!$B$2,"AMBER","RED"))</f>
        <v/>
      </c>
    </row>
    <row r="6">
      <c r="A6" t="inlineStr">
        <is>
          <t>Apparel</t>
        </is>
      </c>
      <c r="B6" t="n">
        <v>20679</v>
      </c>
      <c r="C6" t="n">
        <v>11963</v>
      </c>
      <c r="D6">
        <f>ROUND(100*(1-C6/B6),1)</f>
        <v/>
      </c>
      <c r="E6" t="n">
        <v>3.5</v>
      </c>
      <c r="F6" t="n">
        <v>2.9</v>
      </c>
      <c r="G6" t="n">
        <v>1.64</v>
      </c>
      <c r="H6" s="3" t="n">
        <v>11550729.07</v>
      </c>
      <c r="I6" s="3" t="n">
        <v>1224607.6</v>
      </c>
      <c r="J6">
        <f>IF(D6&gt;=Settings!$B$1,"GREEN",IF(D6&gt;=Settings!$B$1-Settings!$B$2,"AMBER","RED"))</f>
        <v/>
      </c>
    </row>
    <row r="7">
      <c r="A7" t="inlineStr">
        <is>
          <t>Technology</t>
        </is>
      </c>
      <c r="B7" t="n">
        <v>1396</v>
      </c>
      <c r="C7" t="n">
        <v>806</v>
      </c>
      <c r="D7">
        <f>ROUND(100*(1-C7/B7),1)</f>
        <v/>
      </c>
      <c r="E7" t="n">
        <v>3.44</v>
      </c>
      <c r="F7" t="n">
        <v>2.86</v>
      </c>
      <c r="G7" t="n">
        <v>1.63</v>
      </c>
      <c r="H7" s="3" t="n">
        <v>994974.41</v>
      </c>
      <c r="I7" s="3" t="n">
        <v>111588.83</v>
      </c>
      <c r="J7">
        <f>IF(D7&gt;=Settings!$B$1,"GREEN",IF(D7&gt;=Settings!$B$1-Settings!$B$2,"AMBER","RED"))</f>
        <v/>
      </c>
    </row>
    <row r="8">
      <c r="A8" t="inlineStr">
        <is>
          <t>Footwear</t>
        </is>
      </c>
      <c r="B8" t="n">
        <v>4737</v>
      </c>
      <c r="C8" t="n">
        <v>2727</v>
      </c>
      <c r="D8">
        <f>ROUND(100*(1-C8/B8),1)</f>
        <v/>
      </c>
      <c r="E8" t="n">
        <v>3.56</v>
      </c>
      <c r="F8" t="n">
        <v>2.99</v>
      </c>
      <c r="G8" t="n">
        <v>1.6</v>
      </c>
      <c r="H8" s="3" t="n">
        <v>3021365.47</v>
      </c>
      <c r="I8" s="3" t="n">
        <v>315443.27</v>
      </c>
      <c r="J8">
        <f>IF(D8&gt;=Settings!$B$1,"GREEN",IF(D8&gt;=Settings!$B$1-Settings!$B$2,"AMBER","RED"))</f>
        <v/>
      </c>
    </row>
    <row r="9">
      <c r="A9" t="inlineStr">
        <is>
          <t>Fan Shop</t>
        </is>
      </c>
      <c r="B9" t="n">
        <v>19483</v>
      </c>
      <c r="C9" t="n">
        <v>11156</v>
      </c>
      <c r="D9">
        <f>ROUND(100*(1-C9/B9),1)</f>
        <v/>
      </c>
      <c r="E9" t="n">
        <v>3.48</v>
      </c>
      <c r="F9" t="n">
        <v>2.92</v>
      </c>
      <c r="G9" t="n">
        <v>1.6</v>
      </c>
      <c r="H9" s="3" t="n">
        <v>12359924.89</v>
      </c>
      <c r="I9" s="3" t="n">
        <v>1362319.15</v>
      </c>
      <c r="J9">
        <f>IF(D9&gt;=Settings!$B$1,"GREEN",IF(D9&gt;=Settings!$B$1-Settings!$B$2,"AMBER","RED"))</f>
        <v/>
      </c>
    </row>
    <row r="10">
      <c r="A10" t="inlineStr">
        <is>
          <t>Discs Shop</t>
        </is>
      </c>
      <c r="B10" t="n">
        <v>1943</v>
      </c>
      <c r="C10" t="n">
        <v>1103</v>
      </c>
      <c r="D10">
        <f>ROUND(100*(1-C10/B10),1)</f>
        <v/>
      </c>
      <c r="E10" t="n">
        <v>3.57</v>
      </c>
      <c r="F10" t="n">
        <v>3.01</v>
      </c>
      <c r="G10" t="n">
        <v>1.62</v>
      </c>
      <c r="H10" s="3" t="n">
        <v>219069.74</v>
      </c>
      <c r="I10" s="3" t="n">
        <v>24144.8</v>
      </c>
      <c r="J10">
        <f>IF(D10&gt;=Settings!$B$1,"GREEN",IF(D10&gt;=Settings!$B$1-Settings!$B$2,"AMBER","RED"))</f>
        <v/>
      </c>
    </row>
    <row r="11">
      <c r="A11" t="inlineStr">
        <is>
          <t>Outdoors</t>
        </is>
      </c>
      <c r="B11" t="n">
        <v>3957</v>
      </c>
      <c r="C11" t="n">
        <v>2244</v>
      </c>
      <c r="D11">
        <f>ROUND(100*(1-C11/B11),1)</f>
        <v/>
      </c>
      <c r="E11" t="n">
        <v>3.53</v>
      </c>
      <c r="F11" t="n">
        <v>2.98</v>
      </c>
      <c r="G11" t="n">
        <v>1.65</v>
      </c>
      <c r="H11" s="3" t="n">
        <v>2149156.37</v>
      </c>
      <c r="I11" s="3" t="n">
        <v>251422.89</v>
      </c>
      <c r="J11">
        <f>IF(D11&gt;=Settings!$B$1,"GREEN",IF(D11&gt;=Settings!$B$1-Settings!$B$2,"AMBER","RED"))</f>
        <v/>
      </c>
    </row>
    <row r="12">
      <c r="A12" t="inlineStr">
        <is>
          <t>Golf</t>
        </is>
      </c>
      <c r="B12" t="n">
        <v>8029</v>
      </c>
      <c r="C12" t="n">
        <v>4460</v>
      </c>
      <c r="D12">
        <f>ROUND(100*(1-C12/B12),1)</f>
        <v/>
      </c>
      <c r="E12" t="n">
        <v>3.53</v>
      </c>
      <c r="F12" t="n">
        <v>3.02</v>
      </c>
      <c r="G12" t="n">
        <v>1.62</v>
      </c>
      <c r="H12" s="3" t="n">
        <v>3986591.82</v>
      </c>
      <c r="I12" s="3" t="n">
        <v>420744.51</v>
      </c>
      <c r="J12">
        <f>IF(D12&gt;=Settings!$B$1,"GREEN",IF(D12&gt;=Settings!$B$1-Settings!$B$2,"AMBER","RED"))</f>
        <v/>
      </c>
    </row>
  </sheetData>
  <conditionalFormatting sqref="J2:J12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1" customWidth="1" min="4" max="4"/>
    <col width="13" customWidth="1" min="5" max="5"/>
    <col width="17" customWidth="1" min="6" max="6"/>
    <col width="20" customWidth="1" min="7" max="7"/>
    <col width="14" customWidth="1" min="8" max="8"/>
    <col width="14" customWidth="1" min="9" max="9"/>
    <col width="10" customWidth="1" min="10" max="10"/>
  </cols>
  <sheetData>
    <row r="1">
      <c r="A1" s="2" t="inlineStr">
        <is>
          <t>Customer Segment</t>
        </is>
      </c>
      <c r="B1" s="2" t="inlineStr">
        <is>
          <t>Orders</t>
        </is>
      </c>
      <c r="C1" s="2" t="inlineStr">
        <is>
          <t>Late orders</t>
        </is>
      </c>
      <c r="D1" s="2" t="inlineStr">
        <is>
          <t>On-time %</t>
        </is>
      </c>
      <c r="E1" s="2" t="inlineStr">
        <is>
          <t>Avg ship days</t>
        </is>
      </c>
      <c r="F1" s="2" t="inlineStr">
        <is>
          <t>Avg scheduled days</t>
        </is>
      </c>
      <c r="G1" s="2" t="inlineStr">
        <is>
          <t>Avg delay when late (days)</t>
        </is>
      </c>
      <c r="H1" s="2" t="inlineStr">
        <is>
          <t>Sales</t>
        </is>
      </c>
      <c r="I1" s="2" t="inlineStr">
        <is>
          <t>Profit</t>
        </is>
      </c>
      <c r="J1" s="2" t="inlineStr">
        <is>
          <t>Status</t>
        </is>
      </c>
    </row>
    <row r="2">
      <c r="A2" t="inlineStr">
        <is>
          <t>Home Office</t>
        </is>
      </c>
      <c r="B2" t="n">
        <v>11266</v>
      </c>
      <c r="C2" t="n">
        <v>6505</v>
      </c>
      <c r="D2">
        <f>ROUND(100*(1-C2/B2),1)</f>
        <v/>
      </c>
      <c r="E2" t="n">
        <v>3.51</v>
      </c>
      <c r="F2" t="n">
        <v>2.93</v>
      </c>
      <c r="G2" t="n">
        <v>1.62</v>
      </c>
      <c r="H2" s="3" t="n">
        <v>6238683.7</v>
      </c>
      <c r="I2" s="3" t="n">
        <v>665735.97</v>
      </c>
      <c r="J2">
        <f>IF(D2&gt;=Settings!$B$1,"GREEN",IF(D2&gt;=Settings!$B$1-Settings!$B$2,"AMBER","RED"))</f>
        <v/>
      </c>
    </row>
    <row r="3">
      <c r="A3" t="inlineStr">
        <is>
          <t>Consumer</t>
        </is>
      </c>
      <c r="B3" t="n">
        <v>32614</v>
      </c>
      <c r="C3" t="n">
        <v>18672</v>
      </c>
      <c r="D3">
        <f>ROUND(100*(1-C3/B3),1)</f>
        <v/>
      </c>
      <c r="E3" t="n">
        <v>3.51</v>
      </c>
      <c r="F3" t="n">
        <v>2.94</v>
      </c>
      <c r="G3" t="n">
        <v>1.62</v>
      </c>
      <c r="H3" s="3" t="n">
        <v>18264367.26</v>
      </c>
      <c r="I3" s="3" t="n">
        <v>1982863.62</v>
      </c>
      <c r="J3">
        <f>IF(D3&gt;=Settings!$B$1,"GREEN",IF(D3&gt;=Settings!$B$1-Settings!$B$2,"AMBER","RED"))</f>
        <v/>
      </c>
    </row>
    <row r="4">
      <c r="A4" t="inlineStr">
        <is>
          <t>Corporate</t>
        </is>
      </c>
      <c r="B4" t="n">
        <v>19017</v>
      </c>
      <c r="C4" t="n">
        <v>10871</v>
      </c>
      <c r="D4">
        <f>ROUND(100*(1-C4/B4),1)</f>
        <v/>
      </c>
      <c r="E4" t="n">
        <v>3.49</v>
      </c>
      <c r="F4" t="n">
        <v>2.93</v>
      </c>
      <c r="G4" t="n">
        <v>1.62</v>
      </c>
      <c r="H4" s="3" t="n">
        <v>10711378.69</v>
      </c>
      <c r="I4" s="3" t="n">
        <v>1157821.04</v>
      </c>
      <c r="J4">
        <f>IF(D4&gt;=Settings!$B$1,"GREEN",IF(D4&gt;=Settings!$B$1-Settings!$B$2,"AMBER","RED"))</f>
        <v/>
      </c>
    </row>
  </sheetData>
  <conditionalFormatting sqref="J2:J4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2026-10-12T11:18:51Z</dcterms:created>
  <dcterms:modified xmlns:dcterms="http://purl.org/dc/terms/" xmlns:xsi="http://www.w3.org/2001/XMLSchema-instance" xsi:type="dcterms:W3CDTF">2026-10-12T11:18:51Z</dcterms:modified>
</cp:coreProperties>
</file>